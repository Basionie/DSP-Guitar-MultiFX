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<sst xmlns="http://schemas.openxmlformats.org/spreadsheetml/2006/main" count="233" uniqueCount="159">
  <si>
    <t>HARDWARE PROJECT BILL OF MATERIALS (BOM)</t>
  </si>
  <si>
    <t>The components listed in this BOM were primarily purchased from suppliers in Egypt and in non-production quantities. Prices are provided for reference only and may vary depending on the supplier, country, exchange rates, availability, and purchase quantity. Bulk or mass-production purchases may have significantly different pricing.</t>
  </si>
  <si>
    <t>Item</t>
  </si>
  <si>
    <t>Component</t>
  </si>
  <si>
    <t>Value / Specification</t>
  </si>
  <si>
    <t>Manufacturer</t>
  </si>
  <si>
    <t>Part Number</t>
  </si>
  <si>
    <t>Quantity</t>
  </si>
  <si>
    <t>Unit Price (EGP)</t>
  </si>
  <si>
    <t>Total (EGP)</t>
  </si>
  <si>
    <t>Unit Price (USD)</t>
  </si>
  <si>
    <t>Total (USD)</t>
  </si>
  <si>
    <t>Source</t>
  </si>
  <si>
    <t>Link</t>
  </si>
  <si>
    <t>Microcontroller</t>
  </si>
  <si>
    <t>Teensy 4.1 Board</t>
  </si>
  <si>
    <t>PJRC</t>
  </si>
  <si>
    <t>DEV-16771</t>
  </si>
  <si>
    <t xml:space="preserve">SparkFun </t>
  </si>
  <si>
    <t>https://www.sparkfun.com/teensy-4-1.html?srsltid=AfmBOoq-On3JLHUstgFOfd7O5lsnoP-ErgZW5m10Jou18FJRbSr4bobt</t>
  </si>
  <si>
    <t>Audio Codec</t>
  </si>
  <si>
    <t xml:space="preserve">Teensy 4 Audio Shield (Rev D)
</t>
  </si>
  <si>
    <t>DEV-15845</t>
  </si>
  <si>
    <t>SparkFun</t>
  </si>
  <si>
    <t>https://www.sparkfun.com/teensy-4-audio-shield-rev-d.html</t>
  </si>
  <si>
    <t>Op-Amp</t>
  </si>
  <si>
    <t>Low Noise JFET Dual Operational Amplifier</t>
  </si>
  <si>
    <t>Generic / ST</t>
  </si>
  <si>
    <t>TL072CN</t>
  </si>
  <si>
    <t>RAM Electronics</t>
  </si>
  <si>
    <t>https://www.ram-e-shop.com/ar/shop/tl072-tl072cn-5722</t>
  </si>
  <si>
    <t>Capacitor</t>
  </si>
  <si>
    <t xml:space="preserve">10 µF </t>
  </si>
  <si>
    <t>Generic</t>
  </si>
  <si>
    <t>C.10U450V</t>
  </si>
  <si>
    <t>https://www.ram-e-shop.com/ar/shop/c-10u450v-capacitor-mkthf-kymyyy-10uf-mykrw-frd-450v-fwlt-6105?srsltid=AfmBOoosKtW2uWVv9qGcJy7S9t9ESui7XwGx-NCesOlLVtdc4gFRutbP</t>
  </si>
  <si>
    <t>1 µF</t>
  </si>
  <si>
    <t>C.1U50V</t>
  </si>
  <si>
    <t>https://www.ram-e-shop.com/ar/shop/c-1u50v-capacitor-mkthf-kymyyy-1uf-mykrw-frd-50v-fwlt-6075?srsltid=AfmBOop8wfbkCW2TqNN5NW9VxkdUXyKnS9aULpiUVYPdyGkSluaKDDNt</t>
  </si>
  <si>
    <t>100 nF Ceramic</t>
  </si>
  <si>
    <t>C.PF.104</t>
  </si>
  <si>
    <t>https://www.ram-e-shop.com/ar/shop/c-pf-104-capacitor-mkthf-pf104-syrmyk-100-nnw-frd-25-fwlt-100nf-25v-6240?srsltid=AfmBOopmRW0WLtB5pxMS2dD2ox2nWKO1kVSM2yGmyyd8HAb4zP7rbV8J</t>
  </si>
  <si>
    <t>1 nF Ceramic</t>
  </si>
  <si>
    <t>C.PF.102</t>
  </si>
  <si>
    <t>https://www.ram-e-shop.com/ar/shop/c-pf-102-capacitor-mkthf-pf102-syrmyk-1-nnw-frd-25-fwlt-1nf-25v-6239?srsltid=AfmBOop5HyeQqrvX4cu0a_ZC5RMXy6swHZPydRsqNtkXtnG2rCWYNmO-</t>
  </si>
  <si>
    <t>4.7 µF</t>
  </si>
  <si>
    <t>C.4.7U50V</t>
  </si>
  <si>
    <t>Lampatronics</t>
  </si>
  <si>
    <t>https://www.ram-e-shop.com/ar/shop/c-4-7u50v-capacitor-mkthf-kymyyy-4-7uf-mykrw-frd-50v-fwlt-6066?srsltid=AfmBOor7Kv5szQHQ5hazDOI2N1wnJJgQIkR07m1SCRDviWHwqQ7NHIrE</t>
  </si>
  <si>
    <t>100 µF</t>
  </si>
  <si>
    <t>C.100U50V</t>
  </si>
  <si>
    <t>https://www.ram-e-shop.com/ar/shop/c-100u50v-capacitor-mkthf-kymyyy-100uf-mykrw-frd-50v-fwlt-6073?srsltid=AfmBOoq_SSs1gI0FTVD5b59J7HQ11kM0FXRWK8nUwM0pS-1EuN_qLuCx</t>
  </si>
  <si>
    <t>Resistor</t>
  </si>
  <si>
    <t>10 kΩ 1/4W Carbon Film</t>
  </si>
  <si>
    <t>R.10k.1/4W</t>
  </si>
  <si>
    <t>https://www.ram-e-shop.com/ar/shop/carbon-resistance-1-4w-price-per-4-resistors-9506#attr=314</t>
  </si>
  <si>
    <t>100 kΩ 1/4W Carbon Film</t>
  </si>
  <si>
    <t>R.100K.1/4W</t>
  </si>
  <si>
    <t>https://www.ram-e-shop.com/ar/shop/carbon-resistance-1-4w-price-per-4-resistors-9506#attr=317</t>
  </si>
  <si>
    <t>1 kΩ 1/4W Carbon Film</t>
  </si>
  <si>
    <t>R.1K.1/4W</t>
  </si>
  <si>
    <t>https://www.ram-e-shop.com/ar/shop/carbon-resistance-1-4w-price-per-4-resistors-9506#attr=309</t>
  </si>
  <si>
    <t>2.2k Ω 1/4W Carbon Film</t>
  </si>
  <si>
    <t>R.2.2K.1/4W</t>
  </si>
  <si>
    <t>https://www.ram-e-shop.com/ar/shop/carbon-resistance-1-4w-price-per-4-resistors-9506#attr=310</t>
  </si>
  <si>
    <t>1M Ω 1/4W Carbon Film</t>
  </si>
  <si>
    <t>R.1M.1/4W</t>
  </si>
  <si>
    <t>https://www.ram-e-shop.com/ar/shop/carbon-resistance-1-4w-price-per-4-resistors-9506#attr=321</t>
  </si>
  <si>
    <t>560k Ω 1/4W Carbon Film</t>
  </si>
  <si>
    <t>R.560K.1/4W</t>
  </si>
  <si>
    <t>https://www.ram-e-shop.com/ar/shop/carbon-resistance-1-4w-price-per-4-resistors-9506#attr=320</t>
  </si>
  <si>
    <t>Potentiometer</t>
  </si>
  <si>
    <t>100 kΩ Carbon Trimmer (Top Adjust)</t>
  </si>
  <si>
    <t>POT.100K.SMALL</t>
  </si>
  <si>
    <t>https://www.ram-e-shop.com/ar/shop/pot-100k-small-top-adjust-potentiometer-100ko-5838</t>
  </si>
  <si>
    <t>Audio Jack / Connector</t>
  </si>
  <si>
    <t>6.35mm (1/4") Female Mono TS Socket Panel Mount</t>
  </si>
  <si>
    <t>LOCHSOEL</t>
  </si>
  <si>
    <t>LOCHSOEL-6.35MM-6PACK</t>
  </si>
  <si>
    <t>Amazon Egypt</t>
  </si>
  <si>
    <t>https://www.amazon.com/6-35mm-Female-Microphone-Connector-Adapter/dp/B08MT66VPX</t>
  </si>
  <si>
    <t>Footswitch</t>
  </si>
  <si>
    <t>SPST Momentary Push Button Stomp Foot Switch (2 Pin)</t>
  </si>
  <si>
    <t>Gebildet</t>
  </si>
  <si>
    <t>Gebildet-Stomp-SPST</t>
  </si>
  <si>
    <t>https://www.amazon.com/s?k=Etopars+Electric+Guitar+Effects+Pedal+Box+Momentary+SPST+Button+Stomp+Foot+Switch&amp;crid=45KYEDDR3Z3H&amp;sprefix=etopars+electric+guitar+effects+pedal+box+momentary+spst+button+stomp+foot+switch%2Caps%2C301&amp;ref=nb_sb_noss</t>
  </si>
  <si>
    <t>Power Switch</t>
  </si>
  <si>
    <t>22mm Metal Push Button, 12-24V Self-Locking with Red LED</t>
  </si>
  <si>
    <t>Ampere Electronics</t>
  </si>
  <si>
    <t>https://ampere-electronics.com/product/metal-push-button-22mm-power-red-light/</t>
  </si>
  <si>
    <t>Encoder</t>
  </si>
  <si>
    <t>EC11 Rotary Encoder with Push Switch (5-Pin, 20mm Shaft)</t>
  </si>
  <si>
    <t>EC11</t>
  </si>
  <si>
    <t>https://www.ram-e-shop.com/ar/shop/pot-ec11-rotary-5pin-20mm-ec11-rotary-encoder-with-push-button-switch-5pin-20mm-silver-9624?srsltid=AfmBOorOCY85FUT5q6xNvwJCdG83CnnRdXLXL1qbCzP33uo9xHae1zBV</t>
  </si>
  <si>
    <t>Display Module</t>
  </si>
  <si>
    <t>1.3" OLED Display, 128x64, Blue, 4-Pin I2C (SH1106 Driver)</t>
  </si>
  <si>
    <t>https://ampere-electronics.com/product/1-3-inch-oled-display-module-blue-128x64-4pin-i2c/</t>
  </si>
  <si>
    <t>Switch</t>
  </si>
  <si>
    <t>DPDT Toggle Switch 6-Pin 2-Position (ON-ON) 6A 125VAC</t>
  </si>
  <si>
    <t>MTS-202</t>
  </si>
  <si>
    <t>https://www.ram-e-shop.com/ar/shop/toggle-6pin-toggle-switch-6-pin-2-position-mts-202-5730?srsltid=AfmBOooH9HBWRbb3N7u0KX3k3sMoKjo6rPH7OHNWzWBLlN3UyjqAvdZ3</t>
  </si>
  <si>
    <t>Connector</t>
  </si>
  <si>
    <t>Male Pin Header 1x40 Straight 2.54mm Pitch (Long Leg 17mm)</t>
  </si>
  <si>
    <t>PH10-1X40-MALE</t>
  </si>
  <si>
    <t>https://www.ram-e-shop.com/ar/shop/ph10-1x40-male-ph10-pin-header-male-1x40-straight-2-54mm-long-leg-17mm-5832</t>
  </si>
  <si>
    <t>Female Pin Header 1x40 Straight 2.54mm Pitch</t>
  </si>
  <si>
    <t>PH2-1X40-FEMALE</t>
  </si>
  <si>
    <t>https://www.ram-e-shop.com/ar/shop/ph2-1x40-female-ph2-pin-header-female-1x40-straight-2-54mm-5833</t>
  </si>
  <si>
    <t>2-Pin Barrier Terminal Block 7.62mm Pitch (PCB Mount)</t>
  </si>
  <si>
    <t>RP2.POWER.ROS2PIN</t>
  </si>
  <si>
    <t>https://www.ram-e-shop.com/ar/shop/rp-2-power-ros2pin-rp2-2-pin-barrier-terminal-block-pitch-7-62mm-5805</t>
  </si>
  <si>
    <t>Jumper Wires</t>
  </si>
  <si>
    <t>Male to Female Jumper Wire 30cm (1-Pin)</t>
  </si>
  <si>
    <t>PH.MALE.FEMALE.30CM</t>
  </si>
  <si>
    <t>https://www.ram-e-shop.com/ar/shop/ph-male-female-30cm-phcr-m-f-30cm-male-to-female-1-jumper-wire-6808?srsltid=AfmBOoon4h6JZTt4fQbpVlJ84E-8TBuneCGmlodVtrL_RTec-hBcwxK_</t>
  </si>
  <si>
    <t>Insulated 6.3mm Female Spade Crimp Terminal (AWG 12-10)</t>
  </si>
  <si>
    <t>FDD5.5-250</t>
  </si>
  <si>
    <t>https://www.ram-e-shop.com/ar/shop/fdd5-5-250-insulated-6-3mm-female-blade-electrical-crimp-terminal-connector-5733#attr=139</t>
  </si>
  <si>
    <t>Hardware</t>
  </si>
  <si>
    <t>M3x12mm Phillips Pan Head Screw</t>
  </si>
  <si>
    <t>https://ampere-electronics.com/product/m3x12-phillips-pan-head-screw/</t>
  </si>
  <si>
    <t>M3 Galvanized Steel Hex Nut</t>
  </si>
  <si>
    <t>https://ampere-electronics.com/product/m3-galvanized-steel-hex-nut-pack-of-10/</t>
  </si>
  <si>
    <t>Wire / Cable</t>
  </si>
  <si>
    <t>2-Core Speaker Wire 1mm Red &amp; Black (1 Meter)</t>
  </si>
  <si>
    <t>WIRE-2CORE-1MM</t>
  </si>
  <si>
    <t>https://www.ram-e-shop.com/ar/shop/wire-speaker-2x1mm-speaker-wire-2-core-x-1mm-red-black-1-meter-slk-khrby-sm-t-lltwsyl-2-trf-hmr-w-swd-qtr-1-mly-1-mtr-8878</t>
  </si>
  <si>
    <t>Insulation</t>
  </si>
  <si>
    <t>Heat Shrink Tubing Kit (164 pcs Assorted Colors)</t>
  </si>
  <si>
    <t>H.SH.SET.164.COLOR</t>
  </si>
  <si>
    <t>https://www.ram-e-shop.com/ar/shop/h-sh-set-164-color-bag-of-heat-shrink-164pcs-set-color-kys-shrnk-mkrwn-hrry-ll-zl-mlwn-164-qt-9303</t>
  </si>
  <si>
    <t>Consumables</t>
  </si>
  <si>
    <t>Solder Wire 100g Sn70/Pb30 0.6mm (2% Flux Core)</t>
  </si>
  <si>
    <t>SOLDER.WIRE.RAM.100GM</t>
  </si>
  <si>
    <t>https://www.ram-e-shop.com/ar/shop/solder-wire-ram-100gm-solder-wire-ram-high-quality-100gm-sn70-pb30-qsdyr-lhm-ly-ljwd-mrk-rm-bkr-100jm-nsb-lqsdyr-l-lrss-70-l-30-qtr-0-6mm-m-2-hshw-flks-6562</t>
  </si>
  <si>
    <t>DC Female Power Plug 2.1mm to 2-Pin Screw Terminal</t>
  </si>
  <si>
    <t>R.3.TO.DC.FEMALE</t>
  </si>
  <si>
    <t>https://www.ram-e-shop.com/ar/shop/r-3-to-dc-female-dc-female-power-plug-2-1mm-to-2pin-screw-terminal-block-7113?srsltid=AfmBOoqzeC1E7a503G1AY-v_WQsKSwI4BLn8QR4P7Uwl2PxtlKIn6iak</t>
  </si>
  <si>
    <t>Power Supply</t>
  </si>
  <si>
    <t>9V Alkaline Battery (6LR61)</t>
  </si>
  <si>
    <t>Toshiba</t>
  </si>
  <si>
    <t>BATTERY9V.PLUS.ALKALINE</t>
  </si>
  <si>
    <t>https://www.ram-e-shop.com/ar/shop/battery9v-plus-alkaline-battery-9v-power-alkaline-philips-btry-9-fwlt-fylybs-lklyn-mr-twl-7690</t>
  </si>
  <si>
    <t>2xAA Battery Holder with Cover &amp; On/Off Switch</t>
  </si>
  <si>
    <t>BATTERY.CASE.2XAA.ONOFF</t>
  </si>
  <si>
    <t>https://www.ram-e-shop.com/ar/shop/battery-case-2xaa-onoff-battery-holder-2xaa-on-off-switch-jrb-hml-btry-m-mfth-6137</t>
  </si>
  <si>
    <t>PCB</t>
  </si>
  <si>
    <t>Custom 2-Layer Printed Circuit Board (FR-4)</t>
  </si>
  <si>
    <t>External PCB Manufacturer</t>
  </si>
  <si>
    <t>PCB-PROJ-V1</t>
  </si>
  <si>
    <t>Avengers Robotics</t>
  </si>
  <si>
    <t>https://www.facebook.com/avengersrobotics1</t>
  </si>
  <si>
    <t>Enclosure</t>
  </si>
  <si>
    <t>Custom Sheet Metal Enclosure / Chassis</t>
  </si>
  <si>
    <t>Custom / In-House</t>
  </si>
  <si>
    <t>CHASSIS-SM-01</t>
  </si>
  <si>
    <t>Custom Fabricated</t>
  </si>
  <si>
    <t/>
  </si>
  <si>
    <t>Hardware subtotal: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</si>
</sst>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0.00_ "/>
  </numFmts>
  <fonts count="27">
    <font>
      <sz val="11"/>
      <color theme="1"/>
      <name val="Calibri"/>
      <charset val="134"/>
      <scheme val="minor"/>
    </font>
    <font>
      <b/>
      <sz val="15"/>
      <color rgb="FF1F4E78"/>
      <name val="Calibri"/>
      <charset val="134"/>
    </font>
    <font>
      <sz val="12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rgb="FF800080"/>
      <name val="Calibri"/>
      <charset val="0"/>
      <scheme val="minor"/>
    </font>
    <font>
      <sz val="11"/>
      <color rgb="FF1F1F1F"/>
      <name val="Arial"/>
      <charset val="134"/>
    </font>
    <font>
      <b/>
      <sz val="11"/>
      <color rgb="FF1F4E7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178" fontId="4" fillId="3" borderId="1" xfId="0" applyNumberFormat="1" applyFont="1" applyFill="1" applyBorder="1" applyAlignment="1">
      <alignment horizontal="right" vertical="center"/>
    </xf>
    <xf numFmtId="0" fontId="5" fillId="0" borderId="0" xfId="6" applyFont="1" applyAlignment="1">
      <alignment horizontal="fill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5" fillId="4" borderId="1" xfId="6" applyFont="1" applyFill="1" applyBorder="1" applyAlignment="1">
      <alignment horizontal="fill" vertical="center"/>
    </xf>
    <xf numFmtId="0" fontId="5" fillId="3" borderId="1" xfId="6" applyFont="1" applyFill="1" applyBorder="1" applyAlignment="1">
      <alignment horizontal="fill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fill" vertical="center"/>
    </xf>
    <xf numFmtId="0" fontId="0" fillId="0" borderId="0" xfId="0" applyAlignment="1">
      <alignment horizontal="fill" vertical="center"/>
    </xf>
    <xf numFmtId="179" fontId="0" fillId="0" borderId="0" xfId="0" applyNumberFormat="1" applyAlignment="1">
      <alignment vertical="center"/>
    </xf>
    <xf numFmtId="0" fontId="6" fillId="0" borderId="0" xfId="0" applyFont="1" applyAlignment="1">
      <alignment vertical="center" wrapText="1"/>
    </xf>
    <xf numFmtId="0" fontId="7" fillId="5" borderId="2" xfId="0" applyFont="1" applyFill="1" applyBorder="1" applyAlignment="1">
      <alignment horizontal="right" vertical="center"/>
    </xf>
    <xf numFmtId="0" fontId="0" fillId="5" borderId="2" xfId="0" applyFont="1" applyFill="1" applyBorder="1" applyAlignment="1">
      <alignment vertical="center"/>
    </xf>
    <xf numFmtId="4" fontId="7" fillId="5" borderId="2" xfId="0" applyNumberFormat="1" applyFont="1" applyFill="1" applyBorder="1" applyAlignment="1">
      <alignment horizontal="right" vertical="center"/>
    </xf>
    <xf numFmtId="178" fontId="7" fillId="5" borderId="2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ram-e-shop.com/ar/shop/carbon-resistance-1-4w-price-per-4-resistors-9506#attr=317" TargetMode="External"/><Relationship Id="rId8" Type="http://schemas.openxmlformats.org/officeDocument/2006/relationships/hyperlink" Target="https://www.ram-e-shop.com/ar/shop/carbon-resistance-1-4w-price-per-4-resistors-9506#attr=314" TargetMode="External"/><Relationship Id="rId7" Type="http://schemas.openxmlformats.org/officeDocument/2006/relationships/hyperlink" Target="https://www.ram-e-shop.com/ar/shop/c-pf-102-capacitor-mkthf-pf102-syrmyk-1-nnw-frd-25-fwlt-1nf-25v-6239?srsltid=AfmBOop5HyeQqrvX4cu0a_ZC5RMXy6swHZPydRsqNtkXtnG2rCWYNmO-" TargetMode="External"/><Relationship Id="rId6" Type="http://schemas.openxmlformats.org/officeDocument/2006/relationships/hyperlink" Target="https://www.ram-e-shop.com/ar/shop/c-pf-104-capacitor-mkthf-pf104-syrmyk-100-nnw-frd-25-fwlt-100nf-25v-6240?srsltid=AfmBOopmRW0WLtB5pxMS2dD2ox2nWKO1kVSM2yGmyyd8HAb4zP7rbV8J" TargetMode="External"/><Relationship Id="rId5" Type="http://schemas.openxmlformats.org/officeDocument/2006/relationships/hyperlink" Target="https://www.ram-e-shop.com/ar/shop/c-1u50v-capacitor-mkthf-kymyyy-1uf-mykrw-frd-50v-fwlt-6075?srsltid=AfmBOop8wfbkCW2TqNN5NW9VxkdUXyKnS9aULpiUVYPdyGkSluaKDDNt" TargetMode="External"/><Relationship Id="rId4" Type="http://schemas.openxmlformats.org/officeDocument/2006/relationships/hyperlink" Target="https://www.ram-e-shop.com/ar/shop/c-10u450v-capacitor-mkthf-kymyyy-10uf-mykrw-frd-450v-fwlt-6105?srsltid=AfmBOoosKtW2uWVv9qGcJy7S9t9ESui7XwGx-NCesOlLVtdc4gFRutbP" TargetMode="External"/><Relationship Id="rId36" Type="http://schemas.openxmlformats.org/officeDocument/2006/relationships/hyperlink" Target="https://www.facebook.com/avengersrobotics1" TargetMode="External"/><Relationship Id="rId35" Type="http://schemas.openxmlformats.org/officeDocument/2006/relationships/hyperlink" Target="https://www.ram-e-shop.com/ar/shop/battery-case-2xaa-onoff-battery-holder-2xaa-on-off-switch-jrb-hml-btry-m-mfth-6137" TargetMode="External"/><Relationship Id="rId34" Type="http://schemas.openxmlformats.org/officeDocument/2006/relationships/hyperlink" Target="https://www.ram-e-shop.com/ar/shop/battery9v-plus-alkaline-battery-9v-power-alkaline-philips-btry-9-fwlt-fylybs-lklyn-mr-twl-7690" TargetMode="External"/><Relationship Id="rId33" Type="http://schemas.openxmlformats.org/officeDocument/2006/relationships/hyperlink" Target="https://www.ram-e-shop.com/ar/shop/r-3-to-dc-female-dc-female-power-plug-2-1mm-to-2pin-screw-terminal-block-7113?srsltid=AfmBOoqzeC1E7a503G1AY-v_WQsKSwI4BLn8QR4P7Uwl2PxtlKIn6iak" TargetMode="External"/><Relationship Id="rId32" Type="http://schemas.openxmlformats.org/officeDocument/2006/relationships/hyperlink" Target="https://www.ram-e-shop.com/ar/shop/solder-wire-ram-100gm-solder-wire-ram-high-quality-100gm-sn70-pb30-qsdyr-lhm-ly-ljwd-mrk-rm-bkr-100jm-nsb-lqsdyr-l-lrss-70-l-30-qtr-0-6mm-m-2-hshw-flks-6562" TargetMode="External"/><Relationship Id="rId31" Type="http://schemas.openxmlformats.org/officeDocument/2006/relationships/hyperlink" Target="https://www.ram-e-shop.com/ar/shop/h-sh-set-164-color-bag-of-heat-shrink-164pcs-set-color-kys-shrnk-mkrwn-hrry-ll-zl-mlwn-164-qt-9303" TargetMode="External"/><Relationship Id="rId30" Type="http://schemas.openxmlformats.org/officeDocument/2006/relationships/hyperlink" Target="https://www.ram-e-shop.com/ar/shop/wire-speaker-2x1mm-speaker-wire-2-core-x-1mm-red-black-1-meter-slk-khrby-sm-t-lltwsyl-2-trf-hmr-w-swd-qtr-1-mly-1-mtr-8878" TargetMode="External"/><Relationship Id="rId3" Type="http://schemas.openxmlformats.org/officeDocument/2006/relationships/hyperlink" Target="https://www.sparkfun.com/teensy-4-1.html?srsltid=AfmBOoq-On3JLHUstgFOfd7O5lsnoP-ErgZW5m10Jou18FJRbSr4bobt" TargetMode="External"/><Relationship Id="rId29" Type="http://schemas.openxmlformats.org/officeDocument/2006/relationships/hyperlink" Target="https://www.ram-e-shop.com/ar/shop/fdd5-5-250-insulated-6-3mm-female-blade-electrical-crimp-terminal-connector-5733#attr=139" TargetMode="External"/><Relationship Id="rId28" Type="http://schemas.openxmlformats.org/officeDocument/2006/relationships/hyperlink" Target="https://www.ram-e-shop.com/ar/shop/ph-male-female-30cm-phcr-m-f-30cm-male-to-female-1-jumper-wire-6808?srsltid=AfmBOoon4h6JZTt4fQbpVlJ84E-8TBuneCGmlodVtrL_RTec-hBcwxK_" TargetMode="External"/><Relationship Id="rId27" Type="http://schemas.openxmlformats.org/officeDocument/2006/relationships/hyperlink" Target="https://ampere-electronics.com/product/m3-galvanized-steel-hex-nut-pack-of-10/" TargetMode="External"/><Relationship Id="rId26" Type="http://schemas.openxmlformats.org/officeDocument/2006/relationships/hyperlink" Target="https://ampere-electronics.com/product/m3x12-phillips-pan-head-screw/" TargetMode="External"/><Relationship Id="rId25" Type="http://schemas.openxmlformats.org/officeDocument/2006/relationships/hyperlink" Target="https://www.ram-e-shop.com/ar/shop/rp-2-power-ros2pin-rp2-2-pin-barrier-terminal-block-pitch-7-62mm-5805" TargetMode="External"/><Relationship Id="rId24" Type="http://schemas.openxmlformats.org/officeDocument/2006/relationships/hyperlink" Target="https://www.ram-e-shop.com/ar/shop/ph2-1x40-female-ph2-pin-header-female-1x40-straight-2-54mm-5833" TargetMode="External"/><Relationship Id="rId23" Type="http://schemas.openxmlformats.org/officeDocument/2006/relationships/hyperlink" Target="https://www.ram-e-shop.com/ar/shop/ph10-1x40-male-ph10-pin-header-male-1x40-straight-2-54mm-long-leg-17mm-5832" TargetMode="External"/><Relationship Id="rId22" Type="http://schemas.openxmlformats.org/officeDocument/2006/relationships/hyperlink" Target="https://www.ram-e-shop.com/ar/shop/toggle-6pin-toggle-switch-6-pin-2-position-mts-202-5730?srsltid=AfmBOooH9HBWRbb3N7u0KX3k3sMoKjo6rPH7OHNWzWBLlN3UyjqAvdZ3" TargetMode="External"/><Relationship Id="rId21" Type="http://schemas.openxmlformats.org/officeDocument/2006/relationships/hyperlink" Target="https://ampere-electronics.com/product/1-3-inch-oled-display-module-blue-128x64-4pin-i2c/" TargetMode="External"/><Relationship Id="rId20" Type="http://schemas.openxmlformats.org/officeDocument/2006/relationships/hyperlink" Target="https://www.ram-e-shop.com/ar/shop/pot-ec11-rotary-5pin-20mm-ec11-rotary-encoder-with-push-button-switch-5pin-20mm-silver-9624?srsltid=AfmBOorOCY85FUT5q6xNvwJCdG83CnnRdXLXL1qbCzP33uo9xHae1zBV" TargetMode="External"/><Relationship Id="rId2" Type="http://schemas.openxmlformats.org/officeDocument/2006/relationships/hyperlink" Target="https://www.ram-e-shop.com/ar/shop/tl072-tl072cn-5722" TargetMode="External"/><Relationship Id="rId19" Type="http://schemas.openxmlformats.org/officeDocument/2006/relationships/hyperlink" Target="https://ampere-electronics.com/product/metal-push-button-22mm-power-red-light/" TargetMode="External"/><Relationship Id="rId18" Type="http://schemas.openxmlformats.org/officeDocument/2006/relationships/hyperlink" Target="https://www.amazon.com/s?k=Etopars+Electric+Guitar+Effects+Pedal+Box+Momentary+SPST+Button+Stomp+Foot+Switch&amp;crid=45KYEDDR3Z3H&amp;sprefix=etopars+electric+guitar+effects+pedal+box+momentary+spst+button+stomp+foot+switch%2Caps%2C301&amp;ref=nb_sb_noss" TargetMode="External"/><Relationship Id="rId17" Type="http://schemas.openxmlformats.org/officeDocument/2006/relationships/hyperlink" Target="https://www.amazon.com/6-35mm-Female-Microphone-Connector-Adapter/dp/B08MT66VPX" TargetMode="External"/><Relationship Id="rId16" Type="http://schemas.openxmlformats.org/officeDocument/2006/relationships/hyperlink" Target="https://www.ram-e-shop.com/ar/shop/pot-100k-small-top-adjust-potentiometer-100ko-5838" TargetMode="External"/><Relationship Id="rId15" Type="http://schemas.openxmlformats.org/officeDocument/2006/relationships/hyperlink" Target="https://www.ram-e-shop.com/ar/shop/c-4-7u50v-capacitor-mkthf-kymyyy-4-7uf-mykrw-frd-50v-fwlt-6066?srsltid=AfmBOor7Kv5szQHQ5hazDOI2N1wnJJgQIkR07m1SCRDviWHwqQ7NHIrE" TargetMode="External"/><Relationship Id="rId14" Type="http://schemas.openxmlformats.org/officeDocument/2006/relationships/hyperlink" Target="https://www.ram-e-shop.com/ar/shop/c-100u50v-capacitor-mkthf-kymyyy-100uf-mykrw-frd-50v-fwlt-6073?srsltid=AfmBOoq_SSs1gI0FTVD5b59J7HQ11kM0FXRWK8nUwM0pS-1EuN_qLuCx" TargetMode="External"/><Relationship Id="rId13" Type="http://schemas.openxmlformats.org/officeDocument/2006/relationships/hyperlink" Target="https://www.ram-e-shop.com/ar/shop/carbon-resistance-1-4w-price-per-4-resistors-9506#attr=320" TargetMode="External"/><Relationship Id="rId12" Type="http://schemas.openxmlformats.org/officeDocument/2006/relationships/hyperlink" Target="https://www.ram-e-shop.com/ar/shop/carbon-resistance-1-4w-price-per-4-resistors-9506#attr=321" TargetMode="External"/><Relationship Id="rId11" Type="http://schemas.openxmlformats.org/officeDocument/2006/relationships/hyperlink" Target="https://www.ram-e-shop.com/ar/shop/carbon-resistance-1-4w-price-per-4-resistors-9506#attr=310" TargetMode="External"/><Relationship Id="rId10" Type="http://schemas.openxmlformats.org/officeDocument/2006/relationships/hyperlink" Target="https://www.ram-e-shop.com/ar/shop/carbon-resistance-1-4w-price-per-4-resistors-9506#attr=309" TargetMode="External"/><Relationship Id="rId1" Type="http://schemas.openxmlformats.org/officeDocument/2006/relationships/hyperlink" Target="https://www.sparkfun.com/teensy-4-audio-shield-rev-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zoomScale="85" zoomScaleNormal="85" workbookViewId="0">
      <selection activeCell="E10" sqref="E10"/>
    </sheetView>
  </sheetViews>
  <sheetFormatPr defaultColWidth="9" defaultRowHeight="14.4"/>
  <cols>
    <col min="1" max="1" width="8" style="2" customWidth="1"/>
    <col min="2" max="2" width="24" style="2" customWidth="1"/>
    <col min="3" max="3" width="28" style="2" customWidth="1"/>
    <col min="4" max="4" width="18" style="2" customWidth="1"/>
    <col min="5" max="5" width="26" style="2" customWidth="1"/>
    <col min="6" max="6" width="10" style="2" customWidth="1"/>
    <col min="7" max="8" width="18" style="2" customWidth="1"/>
    <col min="9" max="10" width="16" style="2" customWidth="1"/>
    <col min="11" max="11" width="24" style="2" customWidth="1"/>
    <col min="12" max="12" width="32" style="2" customWidth="1"/>
    <col min="13" max="16384" width="9" style="2"/>
  </cols>
  <sheetData>
    <row r="1" ht="25" customHeight="1" spans="1:12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="1" customFormat="1" ht="52" customHeight="1" spans="1:12">
      <c r="A2" s="4" t="s">
        <v>1</v>
      </c>
    </row>
    <row r="3" ht="26" customHeight="1" spans="1:1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5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ht="20" customHeight="1" spans="1:12">
      <c r="A4" s="7">
        <v>1</v>
      </c>
      <c r="B4" s="8" t="s">
        <v>14</v>
      </c>
      <c r="C4" s="8" t="s">
        <v>15</v>
      </c>
      <c r="D4" s="8" t="s">
        <v>16</v>
      </c>
      <c r="E4" s="8" t="s">
        <v>17</v>
      </c>
      <c r="F4" s="9">
        <v>1</v>
      </c>
      <c r="G4" s="10">
        <v>1575</v>
      </c>
      <c r="H4" s="10">
        <f>F4*G4</f>
        <v>1575</v>
      </c>
      <c r="I4" s="11">
        <f>G4/50</f>
        <v>31.5</v>
      </c>
      <c r="J4" s="11">
        <f>F4*I4</f>
        <v>31.5</v>
      </c>
      <c r="K4" s="8" t="s">
        <v>18</v>
      </c>
      <c r="L4" s="12" t="s">
        <v>19</v>
      </c>
    </row>
    <row r="5" ht="19" customHeight="1" spans="1:12">
      <c r="A5" s="13">
        <v>2</v>
      </c>
      <c r="B5" s="14" t="s">
        <v>20</v>
      </c>
      <c r="C5" s="15" t="s">
        <v>21</v>
      </c>
      <c r="D5" s="14" t="s">
        <v>16</v>
      </c>
      <c r="E5" s="14" t="s">
        <v>22</v>
      </c>
      <c r="F5" s="16">
        <v>1</v>
      </c>
      <c r="G5" s="17">
        <v>490</v>
      </c>
      <c r="H5" s="17">
        <f>F5*G5</f>
        <v>490</v>
      </c>
      <c r="I5" s="18">
        <f>G5/50</f>
        <v>9.8</v>
      </c>
      <c r="J5" s="18">
        <f>F5*I5</f>
        <v>9.8</v>
      </c>
      <c r="K5" s="14" t="s">
        <v>23</v>
      </c>
      <c r="L5" s="12" t="s">
        <v>24</v>
      </c>
    </row>
    <row r="6" ht="20" customHeight="1" spans="1:12">
      <c r="A6" s="13">
        <v>3</v>
      </c>
      <c r="B6" s="14" t="s">
        <v>25</v>
      </c>
      <c r="C6" s="14" t="s">
        <v>26</v>
      </c>
      <c r="D6" s="14" t="s">
        <v>27</v>
      </c>
      <c r="E6" s="14" t="s">
        <v>28</v>
      </c>
      <c r="F6" s="16">
        <v>2</v>
      </c>
      <c r="G6" s="17">
        <v>17</v>
      </c>
      <c r="H6" s="17">
        <f t="shared" ref="H6:H40" si="0">F6*G6</f>
        <v>34</v>
      </c>
      <c r="I6" s="18">
        <f t="shared" ref="I6:I34" si="1">G6/50</f>
        <v>0.34</v>
      </c>
      <c r="J6" s="18">
        <f t="shared" ref="J6:J40" si="2">F6*I6</f>
        <v>0.68</v>
      </c>
      <c r="K6" s="14" t="s">
        <v>29</v>
      </c>
      <c r="L6" s="19" t="s">
        <v>30</v>
      </c>
    </row>
    <row r="7" ht="20" customHeight="1" spans="1:12">
      <c r="A7" s="7">
        <v>4</v>
      </c>
      <c r="B7" s="8" t="s">
        <v>31</v>
      </c>
      <c r="C7" s="8" t="s">
        <v>32</v>
      </c>
      <c r="D7" s="8" t="s">
        <v>33</v>
      </c>
      <c r="E7" s="8" t="s">
        <v>34</v>
      </c>
      <c r="F7" s="9">
        <v>1</v>
      </c>
      <c r="G7" s="10">
        <v>3.5</v>
      </c>
      <c r="H7" s="10">
        <f t="shared" si="0"/>
        <v>3.5</v>
      </c>
      <c r="I7" s="11">
        <f t="shared" si="1"/>
        <v>0.07</v>
      </c>
      <c r="J7" s="11">
        <f t="shared" si="2"/>
        <v>0.07</v>
      </c>
      <c r="K7" s="8" t="s">
        <v>29</v>
      </c>
      <c r="L7" s="20" t="s">
        <v>35</v>
      </c>
    </row>
    <row r="8" ht="20" customHeight="1" spans="1:12">
      <c r="A8" s="13">
        <v>5</v>
      </c>
      <c r="B8" s="14" t="s">
        <v>31</v>
      </c>
      <c r="C8" s="14" t="s">
        <v>36</v>
      </c>
      <c r="D8" s="14" t="s">
        <v>33</v>
      </c>
      <c r="E8" s="14" t="s">
        <v>37</v>
      </c>
      <c r="F8" s="16">
        <v>1</v>
      </c>
      <c r="G8" s="17">
        <v>0.65</v>
      </c>
      <c r="H8" s="17">
        <f t="shared" si="0"/>
        <v>0.65</v>
      </c>
      <c r="I8" s="18">
        <f t="shared" si="1"/>
        <v>0.013</v>
      </c>
      <c r="J8" s="18">
        <f t="shared" si="2"/>
        <v>0.013</v>
      </c>
      <c r="K8" s="14" t="s">
        <v>29</v>
      </c>
      <c r="L8" s="19" t="s">
        <v>38</v>
      </c>
    </row>
    <row r="9" ht="20" customHeight="1" spans="1:12">
      <c r="A9" s="7">
        <v>6</v>
      </c>
      <c r="B9" s="8" t="s">
        <v>31</v>
      </c>
      <c r="C9" s="8" t="s">
        <v>39</v>
      </c>
      <c r="D9" s="8" t="s">
        <v>33</v>
      </c>
      <c r="E9" s="8" t="s">
        <v>40</v>
      </c>
      <c r="F9" s="9">
        <v>2</v>
      </c>
      <c r="G9" s="10">
        <v>0.75</v>
      </c>
      <c r="H9" s="10">
        <f t="shared" si="0"/>
        <v>1.5</v>
      </c>
      <c r="I9" s="11">
        <f t="shared" si="1"/>
        <v>0.015</v>
      </c>
      <c r="J9" s="11">
        <f t="shared" si="2"/>
        <v>0.03</v>
      </c>
      <c r="K9" s="8" t="s">
        <v>29</v>
      </c>
      <c r="L9" s="20" t="s">
        <v>41</v>
      </c>
    </row>
    <row r="10" ht="20" customHeight="1" spans="1:12">
      <c r="A10" s="13">
        <v>7</v>
      </c>
      <c r="B10" s="14" t="s">
        <v>31</v>
      </c>
      <c r="C10" s="14" t="s">
        <v>42</v>
      </c>
      <c r="D10" s="14" t="s">
        <v>33</v>
      </c>
      <c r="E10" s="14" t="s">
        <v>43</v>
      </c>
      <c r="F10" s="16">
        <v>1</v>
      </c>
      <c r="G10" s="17">
        <v>0.5</v>
      </c>
      <c r="H10" s="17">
        <f t="shared" si="0"/>
        <v>0.5</v>
      </c>
      <c r="I10" s="18">
        <f t="shared" si="1"/>
        <v>0.01</v>
      </c>
      <c r="J10" s="18">
        <f t="shared" si="2"/>
        <v>0.01</v>
      </c>
      <c r="K10" s="14" t="s">
        <v>29</v>
      </c>
      <c r="L10" s="19" t="s">
        <v>44</v>
      </c>
    </row>
    <row r="11" ht="20" customHeight="1" spans="1:12">
      <c r="A11" s="7">
        <v>8</v>
      </c>
      <c r="B11" s="8" t="s">
        <v>31</v>
      </c>
      <c r="C11" s="8" t="s">
        <v>45</v>
      </c>
      <c r="D11" s="8" t="s">
        <v>33</v>
      </c>
      <c r="E11" s="8" t="s">
        <v>46</v>
      </c>
      <c r="F11" s="9">
        <v>2</v>
      </c>
      <c r="G11" s="10">
        <v>0.75</v>
      </c>
      <c r="H11" s="10">
        <f t="shared" si="0"/>
        <v>1.5</v>
      </c>
      <c r="I11" s="11">
        <f t="shared" si="1"/>
        <v>0.015</v>
      </c>
      <c r="J11" s="11">
        <f t="shared" si="2"/>
        <v>0.03</v>
      </c>
      <c r="K11" s="8" t="s">
        <v>47</v>
      </c>
      <c r="L11" s="20" t="s">
        <v>48</v>
      </c>
    </row>
    <row r="12" ht="20" customHeight="1" spans="1:12">
      <c r="A12" s="13">
        <v>9</v>
      </c>
      <c r="B12" s="14" t="s">
        <v>31</v>
      </c>
      <c r="C12" s="14" t="s">
        <v>49</v>
      </c>
      <c r="D12" s="14" t="s">
        <v>33</v>
      </c>
      <c r="E12" s="14" t="s">
        <v>50</v>
      </c>
      <c r="F12" s="16">
        <v>1</v>
      </c>
      <c r="G12" s="17">
        <v>1.5</v>
      </c>
      <c r="H12" s="17">
        <f t="shared" si="0"/>
        <v>1.5</v>
      </c>
      <c r="I12" s="18">
        <f t="shared" si="1"/>
        <v>0.03</v>
      </c>
      <c r="J12" s="18">
        <f t="shared" si="2"/>
        <v>0.03</v>
      </c>
      <c r="K12" s="14" t="s">
        <v>47</v>
      </c>
      <c r="L12" s="19" t="s">
        <v>51</v>
      </c>
    </row>
    <row r="13" ht="20" customHeight="1" spans="1:12">
      <c r="A13" s="7">
        <v>10</v>
      </c>
      <c r="B13" s="8" t="s">
        <v>52</v>
      </c>
      <c r="C13" s="8" t="s">
        <v>53</v>
      </c>
      <c r="D13" s="8" t="s">
        <v>33</v>
      </c>
      <c r="E13" s="8" t="s">
        <v>54</v>
      </c>
      <c r="F13" s="9">
        <v>2</v>
      </c>
      <c r="G13" s="10">
        <v>0.25</v>
      </c>
      <c r="H13" s="10">
        <f t="shared" si="0"/>
        <v>0.5</v>
      </c>
      <c r="I13" s="11">
        <f t="shared" si="1"/>
        <v>0.005</v>
      </c>
      <c r="J13" s="11">
        <f t="shared" si="2"/>
        <v>0.01</v>
      </c>
      <c r="K13" s="8" t="s">
        <v>29</v>
      </c>
      <c r="L13" s="20" t="s">
        <v>55</v>
      </c>
    </row>
    <row r="14" ht="20" customHeight="1" spans="1:12">
      <c r="A14" s="13">
        <v>11</v>
      </c>
      <c r="B14" s="14" t="s">
        <v>52</v>
      </c>
      <c r="C14" s="14" t="s">
        <v>56</v>
      </c>
      <c r="D14" s="14" t="s">
        <v>33</v>
      </c>
      <c r="E14" s="14" t="s">
        <v>57</v>
      </c>
      <c r="F14" s="16">
        <v>2</v>
      </c>
      <c r="G14" s="17">
        <v>0.25</v>
      </c>
      <c r="H14" s="17">
        <f t="shared" si="0"/>
        <v>0.5</v>
      </c>
      <c r="I14" s="18">
        <f t="shared" si="1"/>
        <v>0.005</v>
      </c>
      <c r="J14" s="18">
        <f t="shared" si="2"/>
        <v>0.01</v>
      </c>
      <c r="K14" s="14" t="s">
        <v>29</v>
      </c>
      <c r="L14" s="19" t="s">
        <v>58</v>
      </c>
    </row>
    <row r="15" ht="20" customHeight="1" spans="1:12">
      <c r="A15" s="7">
        <v>12</v>
      </c>
      <c r="B15" s="8" t="s">
        <v>52</v>
      </c>
      <c r="C15" s="8" t="s">
        <v>59</v>
      </c>
      <c r="D15" s="8" t="s">
        <v>33</v>
      </c>
      <c r="E15" s="8" t="s">
        <v>60</v>
      </c>
      <c r="F15" s="9">
        <v>2</v>
      </c>
      <c r="G15" s="10">
        <v>0.25</v>
      </c>
      <c r="H15" s="10">
        <f t="shared" si="0"/>
        <v>0.5</v>
      </c>
      <c r="I15" s="11">
        <f t="shared" si="1"/>
        <v>0.005</v>
      </c>
      <c r="J15" s="11">
        <f t="shared" si="2"/>
        <v>0.01</v>
      </c>
      <c r="K15" s="8" t="s">
        <v>29</v>
      </c>
      <c r="L15" s="20" t="s">
        <v>61</v>
      </c>
    </row>
    <row r="16" ht="20" customHeight="1" spans="1:12">
      <c r="A16" s="13">
        <v>13</v>
      </c>
      <c r="B16" s="14" t="s">
        <v>52</v>
      </c>
      <c r="C16" s="14" t="s">
        <v>62</v>
      </c>
      <c r="D16" s="14" t="s">
        <v>33</v>
      </c>
      <c r="E16" s="14" t="s">
        <v>63</v>
      </c>
      <c r="F16" s="16">
        <v>2</v>
      </c>
      <c r="G16" s="17">
        <v>0.25</v>
      </c>
      <c r="H16" s="17">
        <f t="shared" si="0"/>
        <v>0.5</v>
      </c>
      <c r="I16" s="18">
        <f t="shared" si="1"/>
        <v>0.005</v>
      </c>
      <c r="J16" s="18">
        <f t="shared" si="2"/>
        <v>0.01</v>
      </c>
      <c r="K16" s="14" t="s">
        <v>29</v>
      </c>
      <c r="L16" s="19" t="s">
        <v>64</v>
      </c>
    </row>
    <row r="17" ht="20" customHeight="1" spans="1:12">
      <c r="A17" s="7">
        <v>14</v>
      </c>
      <c r="B17" s="8" t="s">
        <v>52</v>
      </c>
      <c r="C17" s="8" t="s">
        <v>65</v>
      </c>
      <c r="D17" s="8" t="s">
        <v>33</v>
      </c>
      <c r="E17" s="8" t="s">
        <v>66</v>
      </c>
      <c r="F17" s="9">
        <v>2</v>
      </c>
      <c r="G17" s="10">
        <v>0.25</v>
      </c>
      <c r="H17" s="10">
        <f t="shared" si="0"/>
        <v>0.5</v>
      </c>
      <c r="I17" s="11">
        <f t="shared" si="1"/>
        <v>0.005</v>
      </c>
      <c r="J17" s="11">
        <f t="shared" si="2"/>
        <v>0.01</v>
      </c>
      <c r="K17" s="8" t="s">
        <v>29</v>
      </c>
      <c r="L17" s="20" t="s">
        <v>67</v>
      </c>
    </row>
    <row r="18" ht="20" customHeight="1" spans="1:12">
      <c r="A18" s="13">
        <v>15</v>
      </c>
      <c r="B18" s="14" t="s">
        <v>52</v>
      </c>
      <c r="C18" s="14" t="s">
        <v>68</v>
      </c>
      <c r="D18" s="14" t="s">
        <v>33</v>
      </c>
      <c r="E18" s="14" t="s">
        <v>69</v>
      </c>
      <c r="F18" s="16">
        <v>1</v>
      </c>
      <c r="G18" s="17">
        <v>0.25</v>
      </c>
      <c r="H18" s="17">
        <f t="shared" si="0"/>
        <v>0.25</v>
      </c>
      <c r="I18" s="18">
        <f t="shared" si="1"/>
        <v>0.005</v>
      </c>
      <c r="J18" s="18">
        <f t="shared" si="2"/>
        <v>0.005</v>
      </c>
      <c r="K18" s="14" t="s">
        <v>29</v>
      </c>
      <c r="L18" s="19" t="s">
        <v>70</v>
      </c>
    </row>
    <row r="19" ht="20" customHeight="1" spans="1:12">
      <c r="A19" s="7">
        <v>16</v>
      </c>
      <c r="B19" s="8" t="s">
        <v>71</v>
      </c>
      <c r="C19" s="8" t="s">
        <v>72</v>
      </c>
      <c r="D19" s="8" t="s">
        <v>33</v>
      </c>
      <c r="E19" s="8" t="s">
        <v>73</v>
      </c>
      <c r="F19" s="9">
        <v>1</v>
      </c>
      <c r="G19" s="10">
        <v>2.5</v>
      </c>
      <c r="H19" s="10">
        <f t="shared" si="0"/>
        <v>2.5</v>
      </c>
      <c r="I19" s="11">
        <f t="shared" si="1"/>
        <v>0.05</v>
      </c>
      <c r="J19" s="11">
        <f t="shared" si="2"/>
        <v>0.05</v>
      </c>
      <c r="K19" s="8" t="s">
        <v>29</v>
      </c>
      <c r="L19" s="20" t="s">
        <v>74</v>
      </c>
    </row>
    <row r="20" ht="20" customHeight="1" spans="1:12">
      <c r="A20" s="13">
        <v>17</v>
      </c>
      <c r="B20" s="14" t="s">
        <v>75</v>
      </c>
      <c r="C20" s="14" t="s">
        <v>76</v>
      </c>
      <c r="D20" s="14" t="s">
        <v>77</v>
      </c>
      <c r="E20" s="14" t="s">
        <v>78</v>
      </c>
      <c r="F20" s="16">
        <v>2</v>
      </c>
      <c r="G20" s="17">
        <v>75</v>
      </c>
      <c r="H20" s="17">
        <f t="shared" si="0"/>
        <v>150</v>
      </c>
      <c r="I20" s="18">
        <f t="shared" si="1"/>
        <v>1.5</v>
      </c>
      <c r="J20" s="18">
        <f t="shared" si="2"/>
        <v>3</v>
      </c>
      <c r="K20" s="14" t="s">
        <v>79</v>
      </c>
      <c r="L20" s="19" t="s">
        <v>80</v>
      </c>
    </row>
    <row r="21" ht="20" customHeight="1" spans="1:12">
      <c r="A21" s="7">
        <v>18</v>
      </c>
      <c r="B21" s="21" t="s">
        <v>81</v>
      </c>
      <c r="C21" s="22" t="s">
        <v>82</v>
      </c>
      <c r="D21" s="21" t="s">
        <v>83</v>
      </c>
      <c r="E21" s="21" t="s">
        <v>84</v>
      </c>
      <c r="F21" s="9">
        <v>3</v>
      </c>
      <c r="G21" s="10">
        <v>250</v>
      </c>
      <c r="H21" s="10">
        <f t="shared" si="0"/>
        <v>750</v>
      </c>
      <c r="I21" s="11">
        <f t="shared" si="1"/>
        <v>5</v>
      </c>
      <c r="J21" s="11">
        <f t="shared" si="2"/>
        <v>15</v>
      </c>
      <c r="K21" s="8" t="s">
        <v>79</v>
      </c>
      <c r="L21" s="20" t="s">
        <v>85</v>
      </c>
    </row>
    <row r="22" ht="20" customHeight="1" spans="1:12">
      <c r="A22" s="13">
        <v>19</v>
      </c>
      <c r="B22" s="14" t="s">
        <v>86</v>
      </c>
      <c r="C22" s="14" t="s">
        <v>87</v>
      </c>
      <c r="D22" s="14" t="s">
        <v>33</v>
      </c>
      <c r="E22" s="14">
        <v>6124</v>
      </c>
      <c r="F22" s="16">
        <v>1</v>
      </c>
      <c r="G22" s="17">
        <v>185</v>
      </c>
      <c r="H22" s="17">
        <f t="shared" si="0"/>
        <v>185</v>
      </c>
      <c r="I22" s="18">
        <f t="shared" si="1"/>
        <v>3.7</v>
      </c>
      <c r="J22" s="18">
        <f t="shared" si="2"/>
        <v>3.7</v>
      </c>
      <c r="K22" s="14" t="s">
        <v>88</v>
      </c>
      <c r="L22" s="19" t="s">
        <v>89</v>
      </c>
    </row>
    <row r="23" ht="20" customHeight="1" spans="1:12">
      <c r="A23" s="7">
        <v>20</v>
      </c>
      <c r="B23" s="8" t="s">
        <v>90</v>
      </c>
      <c r="C23" s="8" t="s">
        <v>91</v>
      </c>
      <c r="D23" s="8" t="s">
        <v>33</v>
      </c>
      <c r="E23" s="8" t="s">
        <v>92</v>
      </c>
      <c r="F23" s="9">
        <v>1</v>
      </c>
      <c r="G23" s="10">
        <v>25</v>
      </c>
      <c r="H23" s="10">
        <f t="shared" si="0"/>
        <v>25</v>
      </c>
      <c r="I23" s="11">
        <f t="shared" si="1"/>
        <v>0.5</v>
      </c>
      <c r="J23" s="11">
        <f t="shared" si="2"/>
        <v>0.5</v>
      </c>
      <c r="K23" s="8" t="s">
        <v>29</v>
      </c>
      <c r="L23" s="20" t="s">
        <v>93</v>
      </c>
    </row>
    <row r="24" ht="20" customHeight="1" spans="1:12">
      <c r="A24" s="13">
        <v>21</v>
      </c>
      <c r="B24" s="14" t="s">
        <v>94</v>
      </c>
      <c r="C24" s="14" t="s">
        <v>95</v>
      </c>
      <c r="D24" s="14" t="s">
        <v>33</v>
      </c>
      <c r="E24" s="14">
        <v>26346</v>
      </c>
      <c r="F24" s="16">
        <v>1</v>
      </c>
      <c r="G24" s="17">
        <v>250</v>
      </c>
      <c r="H24" s="17">
        <f t="shared" si="0"/>
        <v>250</v>
      </c>
      <c r="I24" s="18">
        <f t="shared" si="1"/>
        <v>5</v>
      </c>
      <c r="J24" s="18">
        <f t="shared" si="2"/>
        <v>5</v>
      </c>
      <c r="K24" s="14" t="s">
        <v>88</v>
      </c>
      <c r="L24" s="19" t="s">
        <v>96</v>
      </c>
    </row>
    <row r="25" ht="20" customHeight="1" spans="1:12">
      <c r="A25" s="7">
        <v>22</v>
      </c>
      <c r="B25" s="8" t="s">
        <v>97</v>
      </c>
      <c r="C25" s="8" t="s">
        <v>98</v>
      </c>
      <c r="D25" s="8" t="s">
        <v>33</v>
      </c>
      <c r="E25" s="8" t="s">
        <v>99</v>
      </c>
      <c r="F25" s="9">
        <v>1</v>
      </c>
      <c r="G25" s="10">
        <v>13</v>
      </c>
      <c r="H25" s="10">
        <f t="shared" si="0"/>
        <v>13</v>
      </c>
      <c r="I25" s="11">
        <f t="shared" si="1"/>
        <v>0.26</v>
      </c>
      <c r="J25" s="11">
        <f t="shared" si="2"/>
        <v>0.26</v>
      </c>
      <c r="K25" s="8" t="s">
        <v>29</v>
      </c>
      <c r="L25" s="20" t="s">
        <v>100</v>
      </c>
    </row>
    <row r="26" ht="20" customHeight="1" spans="1:12">
      <c r="A26" s="13">
        <v>23</v>
      </c>
      <c r="B26" s="14" t="s">
        <v>101</v>
      </c>
      <c r="C26" s="14" t="s">
        <v>102</v>
      </c>
      <c r="D26" s="14" t="s">
        <v>33</v>
      </c>
      <c r="E26" s="14" t="s">
        <v>103</v>
      </c>
      <c r="F26" s="16">
        <v>3</v>
      </c>
      <c r="G26" s="17">
        <v>4</v>
      </c>
      <c r="H26" s="17">
        <f t="shared" si="0"/>
        <v>12</v>
      </c>
      <c r="I26" s="18">
        <f t="shared" si="1"/>
        <v>0.08</v>
      </c>
      <c r="J26" s="18">
        <f t="shared" si="2"/>
        <v>0.24</v>
      </c>
      <c r="K26" s="14" t="s">
        <v>29</v>
      </c>
      <c r="L26" s="19" t="s">
        <v>104</v>
      </c>
    </row>
    <row r="27" ht="20" customHeight="1" spans="1:12">
      <c r="A27" s="7">
        <v>24</v>
      </c>
      <c r="B27" s="8" t="s">
        <v>101</v>
      </c>
      <c r="C27" s="8" t="s">
        <v>105</v>
      </c>
      <c r="D27" s="8" t="s">
        <v>33</v>
      </c>
      <c r="E27" s="8" t="s">
        <v>106</v>
      </c>
      <c r="F27" s="9">
        <v>3</v>
      </c>
      <c r="G27" s="10">
        <v>5</v>
      </c>
      <c r="H27" s="10">
        <f t="shared" si="0"/>
        <v>15</v>
      </c>
      <c r="I27" s="11">
        <f t="shared" si="1"/>
        <v>0.1</v>
      </c>
      <c r="J27" s="11">
        <f t="shared" si="2"/>
        <v>0.3</v>
      </c>
      <c r="K27" s="8" t="s">
        <v>29</v>
      </c>
      <c r="L27" s="20" t="s">
        <v>107</v>
      </c>
    </row>
    <row r="28" ht="20" customHeight="1" spans="1:12">
      <c r="A28" s="13">
        <v>25</v>
      </c>
      <c r="B28" s="14" t="s">
        <v>101</v>
      </c>
      <c r="C28" s="14" t="s">
        <v>108</v>
      </c>
      <c r="D28" s="14" t="s">
        <v>33</v>
      </c>
      <c r="E28" s="14" t="s">
        <v>109</v>
      </c>
      <c r="F28" s="16">
        <v>14</v>
      </c>
      <c r="G28" s="17">
        <v>3.5</v>
      </c>
      <c r="H28" s="17">
        <f t="shared" si="0"/>
        <v>49</v>
      </c>
      <c r="I28" s="18">
        <f t="shared" si="1"/>
        <v>0.07</v>
      </c>
      <c r="J28" s="18">
        <f t="shared" si="2"/>
        <v>0.98</v>
      </c>
      <c r="K28" s="14" t="s">
        <v>29</v>
      </c>
      <c r="L28" s="19" t="s">
        <v>110</v>
      </c>
    </row>
    <row r="29" ht="20" customHeight="1" spans="1:12">
      <c r="A29" s="7">
        <v>26</v>
      </c>
      <c r="B29" s="8" t="s">
        <v>111</v>
      </c>
      <c r="C29" s="8" t="s">
        <v>112</v>
      </c>
      <c r="D29" s="8" t="s">
        <v>33</v>
      </c>
      <c r="E29" s="8" t="s">
        <v>113</v>
      </c>
      <c r="F29" s="9">
        <v>50</v>
      </c>
      <c r="G29" s="10">
        <v>1.5</v>
      </c>
      <c r="H29" s="10">
        <f t="shared" si="0"/>
        <v>75</v>
      </c>
      <c r="I29" s="11">
        <f t="shared" si="1"/>
        <v>0.03</v>
      </c>
      <c r="J29" s="11">
        <f t="shared" si="2"/>
        <v>1.5</v>
      </c>
      <c r="K29" s="8" t="s">
        <v>29</v>
      </c>
      <c r="L29" s="20" t="s">
        <v>114</v>
      </c>
    </row>
    <row r="30" ht="20" customHeight="1" spans="1:12">
      <c r="A30" s="13">
        <v>27</v>
      </c>
      <c r="B30" s="14" t="s">
        <v>101</v>
      </c>
      <c r="C30" s="14" t="s">
        <v>115</v>
      </c>
      <c r="D30" s="14" t="s">
        <v>33</v>
      </c>
      <c r="E30" s="14" t="s">
        <v>116</v>
      </c>
      <c r="F30" s="16">
        <v>15</v>
      </c>
      <c r="G30" s="17">
        <v>2</v>
      </c>
      <c r="H30" s="17">
        <f t="shared" si="0"/>
        <v>30</v>
      </c>
      <c r="I30" s="18">
        <f t="shared" si="1"/>
        <v>0.04</v>
      </c>
      <c r="J30" s="18">
        <f t="shared" si="2"/>
        <v>0.6</v>
      </c>
      <c r="K30" s="14" t="s">
        <v>29</v>
      </c>
      <c r="L30" s="19" t="s">
        <v>117</v>
      </c>
    </row>
    <row r="31" ht="20" customHeight="1" spans="1:12">
      <c r="A31" s="7">
        <v>28</v>
      </c>
      <c r="B31" s="8" t="s">
        <v>118</v>
      </c>
      <c r="C31" s="8" t="s">
        <v>119</v>
      </c>
      <c r="D31" s="8" t="s">
        <v>33</v>
      </c>
      <c r="E31" s="8">
        <v>26570</v>
      </c>
      <c r="F31" s="9">
        <v>1</v>
      </c>
      <c r="G31" s="10">
        <v>4</v>
      </c>
      <c r="H31" s="10">
        <f t="shared" si="0"/>
        <v>4</v>
      </c>
      <c r="I31" s="11">
        <f t="shared" si="1"/>
        <v>0.08</v>
      </c>
      <c r="J31" s="11">
        <f t="shared" si="2"/>
        <v>0.08</v>
      </c>
      <c r="K31" s="8" t="s">
        <v>88</v>
      </c>
      <c r="L31" s="20" t="s">
        <v>120</v>
      </c>
    </row>
    <row r="32" ht="20" customHeight="1" spans="1:12">
      <c r="A32" s="13">
        <v>29</v>
      </c>
      <c r="B32" s="14" t="s">
        <v>118</v>
      </c>
      <c r="C32" s="14" t="s">
        <v>121</v>
      </c>
      <c r="D32" s="14" t="s">
        <v>33</v>
      </c>
      <c r="E32" s="14">
        <v>24566</v>
      </c>
      <c r="F32" s="16">
        <v>1</v>
      </c>
      <c r="G32" s="17">
        <v>9</v>
      </c>
      <c r="H32" s="17">
        <f t="shared" si="0"/>
        <v>9</v>
      </c>
      <c r="I32" s="18">
        <f t="shared" si="1"/>
        <v>0.18</v>
      </c>
      <c r="J32" s="18">
        <f t="shared" si="2"/>
        <v>0.18</v>
      </c>
      <c r="K32" s="14" t="s">
        <v>88</v>
      </c>
      <c r="L32" s="19" t="s">
        <v>122</v>
      </c>
    </row>
    <row r="33" ht="20" customHeight="1" spans="1:12">
      <c r="A33" s="7">
        <v>30</v>
      </c>
      <c r="B33" s="2" t="s">
        <v>123</v>
      </c>
      <c r="C33" s="23" t="s">
        <v>124</v>
      </c>
      <c r="D33" s="2" t="s">
        <v>33</v>
      </c>
      <c r="E33" s="2" t="s">
        <v>125</v>
      </c>
      <c r="F33" s="9">
        <v>4</v>
      </c>
      <c r="G33" s="2">
        <v>9.5</v>
      </c>
      <c r="H33" s="10">
        <f t="shared" si="0"/>
        <v>38</v>
      </c>
      <c r="I33" s="11">
        <f t="shared" si="1"/>
        <v>0.19</v>
      </c>
      <c r="J33" s="11">
        <f t="shared" si="2"/>
        <v>0.76</v>
      </c>
      <c r="K33" s="8" t="s">
        <v>29</v>
      </c>
      <c r="L33" s="20" t="s">
        <v>126</v>
      </c>
    </row>
    <row r="34" ht="20" customHeight="1" spans="1:12">
      <c r="A34" s="13">
        <v>31</v>
      </c>
      <c r="B34" s="14" t="s">
        <v>127</v>
      </c>
      <c r="C34" s="14" t="s">
        <v>128</v>
      </c>
      <c r="D34" s="14" t="s">
        <v>33</v>
      </c>
      <c r="E34" s="14" t="s">
        <v>129</v>
      </c>
      <c r="F34" s="16">
        <v>1</v>
      </c>
      <c r="G34" s="17">
        <v>50</v>
      </c>
      <c r="H34" s="17">
        <f t="shared" si="0"/>
        <v>50</v>
      </c>
      <c r="I34" s="18">
        <f t="shared" si="1"/>
        <v>1</v>
      </c>
      <c r="J34" s="18">
        <f t="shared" si="2"/>
        <v>1</v>
      </c>
      <c r="K34" s="14" t="s">
        <v>29</v>
      </c>
      <c r="L34" s="19" t="s">
        <v>130</v>
      </c>
    </row>
    <row r="35" ht="20" customHeight="1" spans="1:12">
      <c r="A35" s="7">
        <v>32</v>
      </c>
      <c r="B35" s="2" t="s">
        <v>131</v>
      </c>
      <c r="C35" s="2" t="s">
        <v>132</v>
      </c>
      <c r="D35" s="2" t="s">
        <v>33</v>
      </c>
      <c r="E35" s="2" t="s">
        <v>133</v>
      </c>
      <c r="F35" s="9">
        <v>1</v>
      </c>
      <c r="G35" s="24">
        <v>395</v>
      </c>
      <c r="H35" s="10">
        <f t="shared" si="0"/>
        <v>395</v>
      </c>
      <c r="I35" s="11">
        <f t="shared" ref="I35:I41" si="3">IF(G35="","",G35/50)</f>
        <v>7.9</v>
      </c>
      <c r="J35" s="11">
        <f t="shared" si="2"/>
        <v>7.9</v>
      </c>
      <c r="K35" s="8" t="s">
        <v>29</v>
      </c>
      <c r="L35" s="20" t="s">
        <v>134</v>
      </c>
    </row>
    <row r="36" ht="20" customHeight="1" spans="1:12">
      <c r="A36" s="13">
        <v>33</v>
      </c>
      <c r="B36" s="2" t="s">
        <v>101</v>
      </c>
      <c r="C36" s="2" t="s">
        <v>135</v>
      </c>
      <c r="D36" s="2" t="s">
        <v>33</v>
      </c>
      <c r="E36" s="2" t="s">
        <v>136</v>
      </c>
      <c r="F36" s="16">
        <v>1</v>
      </c>
      <c r="G36" s="17">
        <v>40</v>
      </c>
      <c r="H36" s="17">
        <f t="shared" si="0"/>
        <v>40</v>
      </c>
      <c r="I36" s="18">
        <f t="shared" si="3"/>
        <v>0.8</v>
      </c>
      <c r="J36" s="18">
        <f t="shared" si="2"/>
        <v>0.8</v>
      </c>
      <c r="K36" s="14" t="s">
        <v>29</v>
      </c>
      <c r="L36" s="19" t="s">
        <v>137</v>
      </c>
    </row>
    <row r="37" ht="20" customHeight="1" spans="1:12">
      <c r="A37" s="7">
        <v>34</v>
      </c>
      <c r="B37" s="2" t="s">
        <v>138</v>
      </c>
      <c r="C37" s="2" t="s">
        <v>139</v>
      </c>
      <c r="D37" s="2" t="s">
        <v>140</v>
      </c>
      <c r="E37" s="2" t="s">
        <v>141</v>
      </c>
      <c r="F37" s="9">
        <v>1</v>
      </c>
      <c r="G37" s="24">
        <v>175</v>
      </c>
      <c r="H37" s="10">
        <f t="shared" si="0"/>
        <v>175</v>
      </c>
      <c r="I37" s="11">
        <f t="shared" si="3"/>
        <v>3.5</v>
      </c>
      <c r="J37" s="11">
        <f t="shared" si="2"/>
        <v>3.5</v>
      </c>
      <c r="K37" s="8" t="s">
        <v>29</v>
      </c>
      <c r="L37" s="20" t="s">
        <v>142</v>
      </c>
    </row>
    <row r="38" ht="20" customHeight="1" spans="1:12">
      <c r="A38" s="13">
        <v>35</v>
      </c>
      <c r="B38" s="2" t="s">
        <v>118</v>
      </c>
      <c r="C38" s="2" t="s">
        <v>143</v>
      </c>
      <c r="D38" s="2" t="s">
        <v>33</v>
      </c>
      <c r="E38" s="2" t="s">
        <v>144</v>
      </c>
      <c r="F38" s="16">
        <v>1</v>
      </c>
      <c r="G38" s="17">
        <v>18</v>
      </c>
      <c r="H38" s="17">
        <f t="shared" si="0"/>
        <v>18</v>
      </c>
      <c r="I38" s="18">
        <f t="shared" si="3"/>
        <v>0.36</v>
      </c>
      <c r="J38" s="18">
        <f t="shared" si="2"/>
        <v>0.36</v>
      </c>
      <c r="K38" s="14" t="s">
        <v>29</v>
      </c>
      <c r="L38" s="19" t="s">
        <v>145</v>
      </c>
    </row>
    <row r="39" ht="20" customHeight="1" spans="1:12">
      <c r="A39" s="7">
        <v>36</v>
      </c>
      <c r="B39" s="2" t="s">
        <v>146</v>
      </c>
      <c r="C39" s="2" t="s">
        <v>147</v>
      </c>
      <c r="D39" s="2" t="s">
        <v>148</v>
      </c>
      <c r="E39" s="2" t="s">
        <v>149</v>
      </c>
      <c r="F39" s="9">
        <v>1</v>
      </c>
      <c r="G39" s="10">
        <v>700</v>
      </c>
      <c r="H39" s="10">
        <f t="shared" si="0"/>
        <v>700</v>
      </c>
      <c r="I39" s="11">
        <f t="shared" si="3"/>
        <v>14</v>
      </c>
      <c r="J39" s="11">
        <f t="shared" si="2"/>
        <v>14</v>
      </c>
      <c r="K39" s="25" t="s">
        <v>150</v>
      </c>
      <c r="L39" s="20" t="s">
        <v>151</v>
      </c>
    </row>
    <row r="40" ht="20" customHeight="1" spans="1:12">
      <c r="A40" s="13">
        <v>37</v>
      </c>
      <c r="B40" s="2" t="s">
        <v>152</v>
      </c>
      <c r="C40" s="2" t="s">
        <v>153</v>
      </c>
      <c r="D40" s="2" t="s">
        <v>154</v>
      </c>
      <c r="E40" s="2" t="s">
        <v>155</v>
      </c>
      <c r="F40" s="16">
        <v>1</v>
      </c>
      <c r="G40" s="17">
        <v>600</v>
      </c>
      <c r="H40" s="17">
        <f t="shared" si="0"/>
        <v>600</v>
      </c>
      <c r="I40" s="18">
        <f t="shared" si="3"/>
        <v>12</v>
      </c>
      <c r="J40" s="18">
        <f t="shared" si="2"/>
        <v>12</v>
      </c>
      <c r="K40" s="2" t="s">
        <v>156</v>
      </c>
      <c r="L40" s="14" t="s">
        <v>157</v>
      </c>
    </row>
    <row r="41" ht="24" customHeight="1" spans="1:12">
      <c r="A41" s="26" t="s">
        <v>158</v>
      </c>
      <c r="B41" s="27"/>
      <c r="C41" s="27"/>
      <c r="D41" s="27"/>
      <c r="E41" s="27"/>
      <c r="F41" s="27"/>
      <c r="G41" s="27"/>
      <c r="H41" s="28">
        <f>SUM(H4:H40)</f>
        <v>5696.4</v>
      </c>
      <c r="I41" s="27"/>
      <c r="J41" s="29">
        <f>SUM(J4:J40)</f>
        <v>113.928</v>
      </c>
      <c r="K41" s="27"/>
      <c r="L41" s="27"/>
    </row>
    <row r="42" ht="15.15"/>
  </sheetData>
  <mergeCells count="3">
    <mergeCell ref="A1:L1"/>
    <mergeCell ref="A2:L2"/>
    <mergeCell ref="A41:F41"/>
  </mergeCells>
  <hyperlinks>
    <hyperlink ref="L5" r:id="rId1" display="https://www.sparkfun.com/teensy-4-audio-shield-rev-d.html"/>
    <hyperlink ref="L6" r:id="rId2" display="https://www.ram-e-shop.com/ar/shop/tl072-tl072cn-5722"/>
    <hyperlink ref="L4" r:id="rId3" display="https://www.sparkfun.com/teensy-4-1.html?srsltid=AfmBOoq-On3JLHUstgFOfd7O5lsnoP-ErgZW5m10Jou18FJRbSr4bobt"/>
    <hyperlink ref="L7" r:id="rId4" display="https://www.ram-e-shop.com/ar/shop/c-10u450v-capacitor-mkthf-kymyyy-10uf-mykrw-frd-450v-fwlt-6105?srsltid=AfmBOoosKtW2uWVv9qGcJy7S9t9ESui7XwGx-NCesOlLVtdc4gFRutbP"/>
    <hyperlink ref="L8" r:id="rId5" display="https://www.ram-e-shop.com/ar/shop/c-1u50v-capacitor-mkthf-kymyyy-1uf-mykrw-frd-50v-fwlt-6075?srsltid=AfmBOop8wfbkCW2TqNN5NW9VxkdUXyKnS9aULpiUVYPdyGkSluaKDDNt"/>
    <hyperlink ref="L9" r:id="rId6" display="https://www.ram-e-shop.com/ar/shop/c-pf-104-capacitor-mkthf-pf104-syrmyk-100-nnw-frd-25-fwlt-100nf-25v-6240?srsltid=AfmBOopmRW0WLtB5pxMS2dD2ox2nWKO1kVSM2yGmyyd8HAb4zP7rbV8J"/>
    <hyperlink ref="L10" r:id="rId7" display="https://www.ram-e-shop.com/ar/shop/c-pf-102-capacitor-mkthf-pf102-syrmyk-1-nnw-frd-25-fwlt-1nf-25v-6239?srsltid=AfmBOop5HyeQqrvX4cu0a_ZC5RMXy6swHZPydRsqNtkXtnG2rCWYNmO-"/>
    <hyperlink ref="L13" r:id="rId8" display="https://www.ram-e-shop.com/ar/shop/carbon-resistance-1-4w-price-per-4-resistors-9506#attr=314" tooltip="https://www.ram-e-shop.com/ar/shop/carbon-resistance-1-4w-price-per-4-resistors-9506#attr=314"/>
    <hyperlink ref="L14" r:id="rId9" display="https://www.ram-e-shop.com/ar/shop/carbon-resistance-1-4w-price-per-4-resistors-9506#attr=317"/>
    <hyperlink ref="L15" r:id="rId10" display="https://www.ram-e-shop.com/ar/shop/carbon-resistance-1-4w-price-per-4-resistors-9506#attr=309"/>
    <hyperlink ref="L16" r:id="rId11" display="https://www.ram-e-shop.com/ar/shop/carbon-resistance-1-4w-price-per-4-resistors-9506#attr=310"/>
    <hyperlink ref="L17" r:id="rId12" display="https://www.ram-e-shop.com/ar/shop/carbon-resistance-1-4w-price-per-4-resistors-9506#attr=321"/>
    <hyperlink ref="L18" r:id="rId13" display="https://www.ram-e-shop.com/ar/shop/carbon-resistance-1-4w-price-per-4-resistors-9506#attr=320"/>
    <hyperlink ref="L12" r:id="rId14" display="https://www.ram-e-shop.com/ar/shop/c-100u50v-capacitor-mkthf-kymyyy-100uf-mykrw-frd-50v-fwlt-6073?srsltid=AfmBOoq_SSs1gI0FTVD5b59J7HQ11kM0FXRWK8nUwM0pS-1EuN_qLuCx" tooltip="https://www.ram-e-shop.com/ar/shop/c-100u50v-capacitor-mkthf-kymyyy-100uf-mykrw-frd-50v-fwlt-6073?srsltid=AfmBOoq_SSs1gI0FTVD5b59J7HQ11kM0FXRWK8nUwM0pS-1EuN_qLuCx"/>
    <hyperlink ref="L11" r:id="rId15" display="https://www.ram-e-shop.com/ar/shop/c-4-7u50v-capacitor-mkthf-kymyyy-4-7uf-mykrw-frd-50v-fwlt-6066?srsltid=AfmBOor7Kv5szQHQ5hazDOI2N1wnJJgQIkR07m1SCRDviWHwqQ7NHIrE" tooltip="https://www.ram-e-shop.com/ar/shop/c-4-7u50v-capacitor-mkthf-kymyyy-4-7uf-mykrw-frd-50v-fwlt-6066?srsltid=AfmBOor7Kv5szQHQ5hazDOI2N1wnJJgQIkR07m1SCRDviWHwqQ7NHIrE"/>
    <hyperlink ref="L19" r:id="rId16" display="https://www.ram-e-shop.com/ar/shop/pot-100k-small-top-adjust-potentiometer-100ko-5838"/>
    <hyperlink ref="L20" r:id="rId17" display="https://www.amazon.com/6-35mm-Female-Microphone-Connector-Adapter/dp/B08MT66VPX"/>
    <hyperlink ref="L21" r:id="rId18" display="https://www.amazon.com/s?k=Etopars+Electric+Guitar+Effects+Pedal+Box+Momentary+SPST+Button+Stomp+Foot+Switch&amp;crid=45KYEDDR3Z3H&amp;sprefix=etopars+electric+guitar+effects+pedal+box+momentary+spst+button+stomp+foot+switch%2Caps%2C301&amp;ref=nb_sb_noss"/>
    <hyperlink ref="L22" r:id="rId19" display="https://ampere-electronics.com/product/metal-push-button-22mm-power-red-light/"/>
    <hyperlink ref="L23" r:id="rId20" display="https://www.ram-e-shop.com/ar/shop/pot-ec11-rotary-5pin-20mm-ec11-rotary-encoder-with-push-button-switch-5pin-20mm-silver-9624?srsltid=AfmBOorOCY85FUT5q6xNvwJCdG83CnnRdXLXL1qbCzP33uo9xHae1zBV"/>
    <hyperlink ref="L24" r:id="rId21" display="https://ampere-electronics.com/product/1-3-inch-oled-display-module-blue-128x64-4pin-i2c/"/>
    <hyperlink ref="L25" r:id="rId22" display="https://www.ram-e-shop.com/ar/shop/toggle-6pin-toggle-switch-6-pin-2-position-mts-202-5730?srsltid=AfmBOooH9HBWRbb3N7u0KX3k3sMoKjo6rPH7OHNWzWBLlN3UyjqAvdZ3"/>
    <hyperlink ref="L26" r:id="rId23" display="https://www.ram-e-shop.com/ar/shop/ph10-1x40-male-ph10-pin-header-male-1x40-straight-2-54mm-long-leg-17mm-5832"/>
    <hyperlink ref="L27" r:id="rId24" display="https://www.ram-e-shop.com/ar/shop/ph2-1x40-female-ph2-pin-header-female-1x40-straight-2-54mm-5833"/>
    <hyperlink ref="L28" r:id="rId25" display="https://www.ram-e-shop.com/ar/shop/rp-2-power-ros2pin-rp2-2-pin-barrier-terminal-block-pitch-7-62mm-5805"/>
    <hyperlink ref="L31" r:id="rId26" display="https://ampere-electronics.com/product/m3x12-phillips-pan-head-screw/"/>
    <hyperlink ref="L32" r:id="rId27" display="https://ampere-electronics.com/product/m3-galvanized-steel-hex-nut-pack-of-10/"/>
    <hyperlink ref="L29" r:id="rId28" display="https://www.ram-e-shop.com/ar/shop/ph-male-female-30cm-phcr-m-f-30cm-male-to-female-1-jumper-wire-6808?srsltid=AfmBOoon4h6JZTt4fQbpVlJ84E-8TBuneCGmlodVtrL_RTec-hBcwxK_"/>
    <hyperlink ref="L30" r:id="rId29" display="https://www.ram-e-shop.com/ar/shop/fdd5-5-250-insulated-6-3mm-female-blade-electrical-crimp-terminal-connector-5733#attr=139"/>
    <hyperlink ref="L33" r:id="rId30" display="https://www.ram-e-shop.com/ar/shop/wire-speaker-2x1mm-speaker-wire-2-core-x-1mm-red-black-1-meter-slk-khrby-sm-t-lltwsyl-2-trf-hmr-w-swd-qtr-1-mly-1-mtr-8878"/>
    <hyperlink ref="L34" r:id="rId31" display="https://www.ram-e-shop.com/ar/shop/h-sh-set-164-color-bag-of-heat-shrink-164pcs-set-color-kys-shrnk-mkrwn-hrry-ll-zl-mlwn-164-qt-9303"/>
    <hyperlink ref="L35" r:id="rId32" display="https://www.ram-e-shop.com/ar/shop/solder-wire-ram-100gm-solder-wire-ram-high-quality-100gm-sn70-pb30-qsdyr-lhm-ly-ljwd-mrk-rm-bkr-100jm-nsb-lqsdyr-l-lrss-70-l-30-qtr-0-6mm-m-2-hshw-flks-6562"/>
    <hyperlink ref="L36" r:id="rId33" display="https://www.ram-e-shop.com/ar/shop/r-3-to-dc-female-dc-female-power-plug-2-1mm-to-2pin-screw-terminal-block-7113?srsltid=AfmBOoqzeC1E7a503G1AY-v_WQsKSwI4BLn8QR4P7Uwl2PxtlKIn6iak"/>
    <hyperlink ref="L37" r:id="rId34" display="https://www.ram-e-shop.com/ar/shop/battery9v-plus-alkaline-battery-9v-power-alkaline-philips-btry-9-fwlt-fylybs-lklyn-mr-twl-7690"/>
    <hyperlink ref="L38" r:id="rId35" display="https://www.ram-e-shop.com/ar/shop/battery-case-2xaa-onoff-battery-holder-2xaa-on-off-switch-jrb-hml-btry-m-mfth-6137"/>
    <hyperlink ref="L39" r:id="rId36" display="https://www.facebook.com/avengersrobotics1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Tamer Hassan</cp:lastModifiedBy>
  <dcterms:created xsi:type="dcterms:W3CDTF">2026-08-19T16:33:00Z</dcterms:created>
  <dcterms:modified xsi:type="dcterms:W3CDTF">2026-08-24T13:07:48Z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706173A39C68490B8481A4C81A7528A9_13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